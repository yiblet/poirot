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  <calcPr calcMode="manual" fullCalcOnLoad="0" forceFullCalc="0"/>
</workbook>
</file>

<file path=xl/styles.xml><?xml version="1.0" encoding="utf-8"?>
<styleSheet xmlns="http://schemas.openxmlformats.org/spreadsheetml/2006/main">
  <numFmts count="8">
    <numFmt numFmtId="164" formatCode=".00"/>
    <numFmt numFmtId="165" formatCode="0."/>
    <numFmt numFmtId="166" formatCode="0.00%"/>
    <numFmt numFmtId="167" formatCode="#,##0;[Red](#,##0)"/>
    <numFmt numFmtId="168" formatCode="&quot;a;b&quot;0"/>
    <numFmt numFmtId="169" formatCode="[hh]:mm"/>
    <numFmt numFmtId="170" formatCode="yyyy-mm-dd"/>
    <numFmt numFmtId="171" formatCode="0\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n">
        <v>2</v>
      </c>
      <c r="B1" t="n" s="1">
        <v>0.5</v>
      </c>
      <c r="C1" t="n">
        <f>DATE(1900,2,29)</f>
        <v>777</v>
      </c>
    </row>
    <row r="2">
      <c r="A2" t="n">
        <v>3</v>
      </c>
      <c r="B2" t="n" s="2">
        <v>2</v>
      </c>
      <c r="C2" t="n">
        <f>DATE(4,1,1)</f>
        <v>777</v>
      </c>
    </row>
    <row r="3">
      <c r="A3" t="n">
        <f>SUM(A1:A2)</f>
        <v>777</v>
      </c>
      <c r="B3" t="n" s="3">
        <v>0.125</v>
      </c>
      <c r="C3" t="n">
        <f>DATE(1900,222,1)</f>
        <v>777</v>
      </c>
    </row>
    <row r="4">
      <c r="A4" t="n">
        <f>A3*2</f>
        <v>777</v>
      </c>
      <c r="B4" t="n" s="4">
        <v>-1234</v>
      </c>
      <c r="C4" t="n">
        <f>DATE(1900,2,0)</f>
        <v>777</v>
      </c>
    </row>
    <row r="5">
      <c r="A5" t="n">
        <f>1/0</f>
        <v>777</v>
      </c>
      <c r="B5" t="n" s="5">
        <v>1</v>
      </c>
      <c r="C5" t="n">
        <f>DAYS(-1,0)</f>
        <v>777</v>
      </c>
    </row>
    <row r="6">
      <c r="A6" t="str">
        <f>IF(A1=2,"yes","no")</f>
        <v>STALE</v>
      </c>
      <c r="B6" t="n" s="6">
        <v>0.08333333333333333</v>
      </c>
      <c r="C6" t="n">
        <f>DAY(2958465.9)</f>
        <v>777</v>
      </c>
    </row>
    <row r="7">
      <c r="A7" t="b">
        <f>TRUE()</f>
        <v>0</v>
      </c>
      <c r="B7" t="n" s="7">
        <v>60</v>
      </c>
      <c r="C7" t="n">
        <f>YEAR(2958465)</f>
        <v>777</v>
      </c>
    </row>
    <row r="8">
      <c r="A8" t="str">
        <f>""</f>
        <v>STALE</v>
      </c>
      <c r="B8" t="n" s="8">
        <v>2</v>
      </c>
      <c r="C8" t="n">
        <f>MONTH(2958466)</f>
        <v>777</v>
      </c>
    </row>
    <row r="9">
      <c r="A9"/>
      <c r="C9" t="n">
        <f>EOMONTH(0,0)</f>
        <v>777</v>
      </c>
    </row>
    <row r="10">
      <c r="A10" t="n">
        <v>0</v>
      </c>
      <c r="C10" t="n">
        <f>EDATE(0,0)</f>
        <v>777</v>
      </c>
    </row>
    <row r="11">
      <c r="A11" t="n">
        <f>NA()</f>
        <v>777</v>
      </c>
      <c r="C11" t="n">
        <f>EOMONTH(2958465,1)</f>
        <v>777</v>
      </c>
    </row>
    <row r="12">
      <c r="A12" t="n">
        <f>SQRT(-1)</f>
        <v>777</v>
      </c>
      <c r="C12" t="n">
        <f>NETWORKDAYS(0,0)</f>
        <v>777</v>
      </c>
    </row>
    <row r="13">
      <c r="A13" t="n">
        <f>"1"+"2"</f>
        <v>777</v>
      </c>
      <c r="C13" t="n">
        <f>NETWORKDAYS(NA(),1)</f>
        <v>777</v>
      </c>
    </row>
    <row r="14">
      <c r="A14" t="n">
        <f>IF(FALSE(),1/0,7)</f>
        <v>777</v>
      </c>
      <c r="C14" t="n">
        <f>NETWORKDAYS("a","b")</f>
        <v>777</v>
      </c>
    </row>
    <row r="15">
      <c r="A15" t="b">
        <v>0</v>
      </c>
      <c r="C15" t="n">
        <f>WORKDAY(0,1)</f>
        <v>777</v>
      </c>
    </row>
    <row r="16">
      <c r="A16" t="inlineStr">
        <is>
          <t>plain text</t>
        </is>
      </c>
      <c r="C16" t="n">
        <f>WORKDAY(2958465,0)</f>
        <v>777</v>
      </c>
    </row>
    <row r="17">
      <c r="A17" t="n">
        <f>2^200%</f>
        <v>777</v>
      </c>
      <c r="C17" t="n">
        <f>WORKDAY.INTL(2958465,1)</f>
        <v>777</v>
      </c>
    </row>
    <row r="18">
      <c r="C18" t="n">
        <f>WORKDAY.INTL("2013/09/30",-1)</f>
        <v>777</v>
      </c>
    </row>
    <row r="19">
      <c r="C19" t="n">
        <f>WORKDAY.INTL("2013/09/27",1)</f>
        <v>777</v>
      </c>
    </row>
    <row r="20">
      <c r="C20" t="n">
        <f>WORKDAY.INTL("2013/10/06",1)</f>
        <v>777</v>
      </c>
    </row>
    <row r="21">
      <c r="C21" t="n">
        <f>WEEKDAY(2958465)</f>
        <v>777</v>
      </c>
    </row>
    <row r="22">
      <c r="C22" t="n">
        <f>WEEKNUM(DATE(2021,9,27),21)</f>
        <v>777</v>
      </c>
    </row>
    <row r="23">
      <c r="C23" t="n">
        <f>WEEKNUM(DATE(2021,9,27))</f>
        <v>777</v>
      </c>
    </row>
    <row r="24">
      <c r="C24" t="n">
        <f>WEEKNUM(1,18)</f>
        <v>777</v>
      </c>
    </row>
    <row r="25">
      <c r="C25" t="n">
        <f>DAYS360(DATE(1993,2,28),DATE(1993,3,1),FALSE)</f>
        <v>777</v>
      </c>
    </row>
    <row r="26">
      <c r="C26" t="n">
        <f>DAYS360(DATE(1993,2,28),DATE(1993,3,1),TRUE)</f>
        <v>777</v>
      </c>
    </row>
    <row r="27">
      <c r="C27" t="n">
        <f>DAYS360(DATE(1993,2,28),DATE(1993,2,28),FALSE)</f>
        <v>777</v>
      </c>
    </row>
    <row r="28">
      <c r="C28" t="n">
        <f>DATEVALUE("8/22/2011")</f>
        <v>777</v>
      </c>
    </row>
    <row r="29">
      <c r="C29" t="n">
        <f>TIME(24,0,0)</f>
        <v>777</v>
      </c>
    </row>
    <row r="30">
      <c r="C30" t="n">
        <f>TIMEVALUE("12:00")</f>
        <v>777</v>
      </c>
    </row>
    <row r="31">
      <c r="C31" t="n">
        <f>TIMEVALUE("")</f>
        <v>777</v>
      </c>
    </row>
    <row r="32">
      <c r="C32" t="n">
        <f>YEARFRAC(1,2958465)</f>
        <v>777</v>
      </c>
    </row>
    <row r="33">
      <c r="C33" t="n">
        <f>WEEKNUM(DATE(2023,1,1),21)</f>
        <v>777</v>
      </c>
    </row>
    <row r="34">
      <c r="C34" t="n">
        <f>WEEKNUM(DATE(2018,12,31),21)</f>
        <v>777</v>
      </c>
    </row>
    <row r="35">
      <c r="C35" t="n">
        <f>WORKDAY(59,1)</f>
        <v>777</v>
      </c>
    </row>
    <row r="36">
      <c r="C36" t="n">
        <f>WORKDAY(60,1)</f>
        <v>777</v>
      </c>
    </row>
    <row r="37">
      <c r="C37" t="n">
        <f>WORKDAY(61,-1)</f>
        <v>777</v>
      </c>
    </row>
    <row r="38">
      <c r="C38" t="n">
        <f>WORKDAY(59,1,60)</f>
        <v>777</v>
      </c>
    </row>
    <row r="39">
      <c r="C39" t="n">
        <f>WORKDAY(61,-1,60)</f>
        <v>777</v>
      </c>
    </row>
    <row r="40">
      <c r="C40" t="n">
        <f>YEARFRAC("-1","1",2)</f>
        <v>777</v>
      </c>
    </row>
    <row r="41">
      <c r="C41" t="n">
        <f>YEARFRAC("-1","1",0)</f>
        <v>777</v>
      </c>
    </row>
    <row r="42">
      <c r="C42" t="n">
        <f>YEARFRAC("2958466","2958467",2)</f>
        <v>777</v>
      </c>
    </row>
    <row r="43">
      <c r="C43" t="n">
        <f>WORKDAY.INTL("2013/09/27",1,"0000011")</f>
        <v>777</v>
      </c>
    </row>
    <row r="44">
      <c r="C44" t="n">
        <f>WORKDAY.INTL("2013/09/27",1,"0000000")</f>
        <v>777</v>
      </c>
    </row>
  </sheetData>
</worksheet>
</file>